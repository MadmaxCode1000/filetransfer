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ads Received" sheetId="1" r:id="rId4"/>
    <sheet state="visible" name="Balance Transfer" sheetId="2" r:id="rId5"/>
    <sheet state="visible" name="Split" sheetId="3" r:id="rId6"/>
  </sheets>
  <definedNames/>
  <calcPr/>
</workbook>
</file>

<file path=xl/sharedStrings.xml><?xml version="1.0" encoding="utf-8"?>
<sst xmlns="http://schemas.openxmlformats.org/spreadsheetml/2006/main" count="67" uniqueCount="44">
  <si>
    <t>Amount Received</t>
  </si>
  <si>
    <t>Hemanth</t>
  </si>
  <si>
    <t>Kishore</t>
  </si>
  <si>
    <t>Ranjeeth</t>
  </si>
  <si>
    <t>Sam</t>
  </si>
  <si>
    <t>Dinesh</t>
  </si>
  <si>
    <t>Kavya</t>
  </si>
  <si>
    <t>Akshay</t>
  </si>
  <si>
    <t>Geetha</t>
  </si>
  <si>
    <t>Alcohol</t>
  </si>
  <si>
    <t>Smokes (Nomads)</t>
  </si>
  <si>
    <t>Smokes (Barn)</t>
  </si>
  <si>
    <t>Total Expense</t>
  </si>
  <si>
    <t>Nomads Stay</t>
  </si>
  <si>
    <t>Per person (13)</t>
  </si>
  <si>
    <t>Nomads food</t>
  </si>
  <si>
    <t>Breakfast</t>
  </si>
  <si>
    <t>Nomad's Desert</t>
  </si>
  <si>
    <t>Barn Stay</t>
  </si>
  <si>
    <t>Barn Food</t>
  </si>
  <si>
    <t>Barn Smokes</t>
  </si>
  <si>
    <t>Snacks and miscellaneous</t>
  </si>
  <si>
    <t>3rd day Evening Snacks and Tea</t>
  </si>
  <si>
    <t>Amount Paid</t>
  </si>
  <si>
    <t>Cost Per person/Couple</t>
  </si>
  <si>
    <t>Balance</t>
  </si>
  <si>
    <t>Akshay and Nayana</t>
  </si>
  <si>
    <t>Diana</t>
  </si>
  <si>
    <t>Rajeev</t>
  </si>
  <si>
    <t>1st day Breakfast</t>
  </si>
  <si>
    <t>Nomad's - Stay</t>
  </si>
  <si>
    <t>Nomad's Food</t>
  </si>
  <si>
    <t>Desert (Souffle &amp; Sides)</t>
  </si>
  <si>
    <t>Smokes - Nomads</t>
  </si>
  <si>
    <t>Barn - Stay</t>
  </si>
  <si>
    <t>Barn - food</t>
  </si>
  <si>
    <t>Smokes - Barn</t>
  </si>
  <si>
    <t>Total</t>
  </si>
  <si>
    <t>Per Person</t>
  </si>
  <si>
    <t>Harshu</t>
  </si>
  <si>
    <t>Esther</t>
  </si>
  <si>
    <t>Nayana</t>
  </si>
  <si>
    <t>Ranjeeth's Car Petrol</t>
  </si>
  <si>
    <t>Stash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</si>
</sst>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0" fillId="0" fontId="1" numFmtId="0" xfId="0" applyFont="1"/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>
        <v>2100.0</v>
      </c>
      <c r="C2" s="5">
        <v>5460.0</v>
      </c>
      <c r="D2" s="5">
        <v>3775.0</v>
      </c>
      <c r="E2" s="5">
        <v>520.0</v>
      </c>
      <c r="F2" s="5">
        <v>32352.0</v>
      </c>
      <c r="G2" s="5">
        <v>1175.0</v>
      </c>
      <c r="H2" s="5">
        <v>125.0</v>
      </c>
      <c r="I2" s="5">
        <v>436.0</v>
      </c>
      <c r="J2" s="5" t="str">
        <f>SUM(B2:I2)</f>
        <v>45943</v>
      </c>
    </row>
    <row r="3">
      <c r="A3" s="4" t="s">
        <v>2</v>
      </c>
      <c r="B3" s="5">
        <v>10000.0</v>
      </c>
      <c r="C3" s="5">
        <v>3980.0</v>
      </c>
      <c r="D3" s="5">
        <v>3310.0</v>
      </c>
      <c r="E3" s="5">
        <v>4210.0</v>
      </c>
      <c r="F3" s="5">
        <v>500.0</v>
      </c>
      <c r="G3" s="5" t="str">
        <f>SUM(B3:F3)</f>
        <v>22000</v>
      </c>
      <c r="H3" s="5"/>
      <c r="I3" s="5"/>
      <c r="J3" s="5"/>
    </row>
    <row r="4">
      <c r="A4" s="4" t="s">
        <v>3</v>
      </c>
      <c r="B4" s="5">
        <v>4200.0</v>
      </c>
      <c r="C4" s="5">
        <v>30000.0</v>
      </c>
      <c r="D4" s="5">
        <v>30000.0</v>
      </c>
      <c r="E4" s="5">
        <v>2000.0</v>
      </c>
      <c r="F4" s="5" t="str">
        <f>SUM(B4:E4)</f>
        <v>66200</v>
      </c>
      <c r="G4" s="5"/>
      <c r="H4" s="5"/>
      <c r="I4" s="5"/>
      <c r="J4" s="5"/>
    </row>
    <row r="5">
      <c r="A5" s="4" t="s">
        <v>4</v>
      </c>
      <c r="B5" s="5">
        <v>4000.0</v>
      </c>
      <c r="C5" s="5">
        <v>12000.0</v>
      </c>
      <c r="D5" s="5">
        <v>4150.0</v>
      </c>
      <c r="E5" s="5" t="str">
        <f t="shared" ref="E5:E6" si="1">SUM(B5:D5)</f>
        <v>20150</v>
      </c>
      <c r="F5" s="5"/>
      <c r="G5" s="5"/>
      <c r="H5" s="5"/>
      <c r="I5" s="5"/>
      <c r="J5" s="5"/>
    </row>
    <row r="6">
      <c r="A6" s="4" t="s">
        <v>5</v>
      </c>
      <c r="B6" s="5">
        <v>1798.0</v>
      </c>
      <c r="C6" s="5">
        <v>432.0</v>
      </c>
      <c r="D6" s="5">
        <v>3800.0</v>
      </c>
      <c r="E6" s="5" t="str">
        <f t="shared" si="1"/>
        <v>6030</v>
      </c>
      <c r="F6" s="5"/>
      <c r="G6" s="5"/>
      <c r="H6" s="5"/>
      <c r="I6" s="5"/>
      <c r="J6" s="5"/>
    </row>
    <row r="7">
      <c r="A7" s="4" t="s">
        <v>6</v>
      </c>
      <c r="B7" s="5">
        <v>12927.0</v>
      </c>
      <c r="C7" s="5">
        <v>925.0</v>
      </c>
      <c r="D7" s="5" t="str">
        <f t="shared" ref="D7:D8" si="2">SUM(B7:C7)</f>
        <v>13852</v>
      </c>
      <c r="E7" s="5"/>
      <c r="F7" s="5"/>
      <c r="G7" s="5"/>
      <c r="H7" s="5"/>
      <c r="I7" s="5"/>
      <c r="J7" s="5"/>
    </row>
    <row r="8">
      <c r="A8" s="4" t="s">
        <v>7</v>
      </c>
      <c r="B8" s="5">
        <v>1200.0</v>
      </c>
      <c r="C8" s="5">
        <v>2500.0</v>
      </c>
      <c r="D8" s="5" t="str">
        <f t="shared" si="2"/>
        <v>3700</v>
      </c>
      <c r="E8" s="5"/>
      <c r="F8" s="5"/>
      <c r="G8" s="5"/>
      <c r="H8" s="5"/>
      <c r="I8" s="5"/>
      <c r="J8" s="5"/>
    </row>
    <row r="9">
      <c r="A9" s="4" t="s">
        <v>8</v>
      </c>
      <c r="B9" s="5">
        <v>2000.0</v>
      </c>
      <c r="C9" s="5"/>
      <c r="D9" s="5"/>
      <c r="E9" s="5"/>
      <c r="F9" s="5"/>
      <c r="G9" s="5"/>
      <c r="H9" s="5"/>
      <c r="I9" s="5"/>
      <c r="J9" s="5"/>
    </row>
    <row r="11">
      <c r="A11" s="6" t="s">
        <v>9</v>
      </c>
      <c r="B11">
        <v>5460.0</v>
      </c>
      <c r="C11">
        <v>5500.0</v>
      </c>
      <c r="D11">
        <v>3980.0</v>
      </c>
      <c r="E11">
        <v>4210.0</v>
      </c>
      <c r="F11">
        <v>4150.0</v>
      </c>
      <c r="G11">
        <v>2500.0</v>
      </c>
      <c r="H11">
        <v>3800.0</v>
      </c>
      <c r="I11" t="str">
        <f>SUM(B11:H11)</f>
        <v>29600</v>
      </c>
    </row>
    <row r="12">
      <c r="A12" s="6"/>
      <c r="B12" t="str">
        <f>I11/9</f>
        <v>3288.888889</v>
      </c>
    </row>
    <row r="14">
      <c r="A14" s="6" t="s">
        <v>10</v>
      </c>
      <c r="B14">
        <v>4500.0</v>
      </c>
      <c r="C14">
        <v>960.0</v>
      </c>
      <c r="D14">
        <v>432.0</v>
      </c>
      <c r="E14" t="str">
        <f>SUM(B14:D14)</f>
        <v>5892</v>
      </c>
      <c r="F14" t="str">
        <f>E14/7</f>
        <v>841.7142857</v>
      </c>
    </row>
    <row r="15">
      <c r="A15" s="6" t="s">
        <v>11</v>
      </c>
      <c r="B15">
        <v>3310.0</v>
      </c>
    </row>
    <row r="17">
      <c r="A17" s="6" t="s">
        <v>12</v>
      </c>
      <c r="B17" t="str">
        <f>J2+G3+F4+E5+E6+D7+D8+B9</f>
        <v>179875</v>
      </c>
      <c r="E17" t="str">
        <f>B17-B4</f>
        <v>175675</v>
      </c>
      <c r="G17">
        <v>172403.0</v>
      </c>
      <c r="H17" t="str">
        <f>E17-G17</f>
        <v>3272</v>
      </c>
    </row>
    <row r="18">
      <c r="B18" t="str">
        <f>B17/13</f>
        <v>13836.53846</v>
      </c>
    </row>
    <row r="20">
      <c r="A20" t="s">
        <v>13</v>
      </c>
      <c r="B20">
        <v>60000.0</v>
      </c>
    </row>
    <row r="21" ht="15.75" customHeight="1">
      <c r="A21" t="s">
        <v>14</v>
      </c>
      <c r="B21" t="str">
        <f>B20/13</f>
        <v>4615.384615</v>
      </c>
    </row>
    <row r="22" ht="15.75" customHeight="1">
      <c r="A22" t="s">
        <v>15</v>
      </c>
      <c r="B22">
        <v>9690.0</v>
      </c>
      <c r="C22">
        <v>12662.0</v>
      </c>
      <c r="D22" t="str">
        <f>SUM(B22:C22)</f>
        <v>22352</v>
      </c>
    </row>
    <row r="23" ht="15.75" customHeight="1">
      <c r="A23" t="s">
        <v>14</v>
      </c>
      <c r="B23" t="str">
        <f>D22/13</f>
        <v>1719.384615</v>
      </c>
    </row>
    <row r="24" ht="15.75" customHeight="1"/>
    <row r="25" ht="15.75" customHeight="1">
      <c r="A25" t="s">
        <v>16</v>
      </c>
      <c r="B25">
        <v>1200.0</v>
      </c>
    </row>
    <row r="26" ht="15.75" customHeight="1">
      <c r="B26" t="str">
        <f>B25/11</f>
        <v>109.0909091</v>
      </c>
    </row>
    <row r="27" ht="15.75" customHeight="1"/>
    <row r="28" ht="15.75" customHeight="1">
      <c r="A28" t="s">
        <v>17</v>
      </c>
      <c r="B28">
        <v>3775.0</v>
      </c>
      <c r="C28">
        <v>520.0</v>
      </c>
      <c r="D28" t="str">
        <f>SUM(B28:C28)</f>
        <v>4295</v>
      </c>
    </row>
    <row r="29" ht="15.75" customHeight="1">
      <c r="B29" t="str">
        <f>D28/13</f>
        <v>330.3846154</v>
      </c>
    </row>
    <row r="30" ht="15.75" customHeight="1"/>
    <row r="31" ht="15.75" customHeight="1">
      <c r="A31" t="s">
        <v>18</v>
      </c>
      <c r="B31">
        <v>30000.0</v>
      </c>
    </row>
    <row r="32" ht="15.75" customHeight="1">
      <c r="B32" t="str">
        <f>B31/12</f>
        <v>2500</v>
      </c>
    </row>
    <row r="33" ht="15.75" customHeight="1">
      <c r="B33" s="5"/>
    </row>
    <row r="34" ht="15.75" customHeight="1">
      <c r="A34" t="s">
        <v>19</v>
      </c>
      <c r="B34" s="5">
        <v>12927.0</v>
      </c>
    </row>
    <row r="35" ht="15.75" customHeight="1">
      <c r="B35" t="str">
        <f>B34/12</f>
        <v>1077.25</v>
      </c>
    </row>
    <row r="36" ht="15.75" customHeight="1"/>
    <row r="37" ht="15.75" customHeight="1">
      <c r="A37" t="s">
        <v>20</v>
      </c>
      <c r="B37">
        <v>3310.0</v>
      </c>
    </row>
    <row r="38" ht="15.75" customHeight="1">
      <c r="B38" t="str">
        <f>B37/6</f>
        <v>551.6666667</v>
      </c>
    </row>
    <row r="39" ht="15.75" customHeight="1"/>
    <row r="40" ht="15.75" customHeight="1">
      <c r="A40" t="s">
        <v>21</v>
      </c>
      <c r="B40">
        <v>2100.0</v>
      </c>
      <c r="C40">
        <v>1798.0</v>
      </c>
      <c r="D40">
        <v>925.0</v>
      </c>
      <c r="E40">
        <v>500.0</v>
      </c>
      <c r="F40" t="str">
        <f>SUM(B40:E40)</f>
        <v>5323</v>
      </c>
    </row>
    <row r="41" ht="15.75" customHeight="1">
      <c r="B41" t="str">
        <f>F40/13</f>
        <v>409.4615385</v>
      </c>
    </row>
    <row r="42" ht="15.75" customHeight="1"/>
    <row r="43" ht="15.75" customHeight="1">
      <c r="A43" t="s">
        <v>22</v>
      </c>
      <c r="B43">
        <v>1175.0</v>
      </c>
      <c r="C43">
        <v>125.0</v>
      </c>
      <c r="D43">
        <v>436.0</v>
      </c>
      <c r="E43" t="str">
        <f>SUM(B43:D43)</f>
        <v>1736</v>
      </c>
    </row>
    <row r="44" ht="15.75" customHeight="1">
      <c r="B44" t="str">
        <f>E43/10</f>
        <v>173.6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J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43"/>
    <col customWidth="1" min="3" max="3" width="22.43"/>
    <col customWidth="1" min="4" max="4" width="12.71"/>
    <col customWidth="1" min="5" max="7" width="8.71"/>
    <col customWidth="1" min="8" max="8" width="6.0"/>
    <col customWidth="1" min="9" max="9" width="8.71"/>
    <col customWidth="1" min="10" max="10" width="12.0"/>
    <col customWidth="1" min="11" max="11" width="12.71"/>
  </cols>
  <sheetData>
    <row r="1">
      <c r="A1" s="5"/>
      <c r="B1" s="4" t="s">
        <v>23</v>
      </c>
      <c r="C1" s="4" t="s">
        <v>24</v>
      </c>
      <c r="D1" s="4" t="s">
        <v>25</v>
      </c>
    </row>
    <row r="2">
      <c r="A2" s="5" t="s">
        <v>1</v>
      </c>
      <c r="B2" s="5">
        <v>45943.0</v>
      </c>
      <c r="C2" s="5">
        <v>15616.826134976134</v>
      </c>
      <c r="D2" s="5" t="str">
        <f t="shared" ref="D2:D11" si="1">B2-C2</f>
        <v>30326.17387</v>
      </c>
      <c r="J2" t="str">
        <f>D2+D4+D7</f>
        <v>79735.88235</v>
      </c>
      <c r="K2" t="str">
        <f>D3+D5+D6+D8+D9+D10+D11</f>
        <v>-66697.53823</v>
      </c>
    </row>
    <row r="3">
      <c r="A3" s="5" t="s">
        <v>2</v>
      </c>
      <c r="B3" s="5">
        <v>22000.0</v>
      </c>
      <c r="C3" s="5">
        <v>29841.0</v>
      </c>
      <c r="D3" s="5" t="str">
        <f t="shared" si="1"/>
        <v>-7841</v>
      </c>
    </row>
    <row r="4">
      <c r="A4" s="5" t="s">
        <v>3</v>
      </c>
      <c r="B4" s="5">
        <v>62000.0</v>
      </c>
      <c r="C4" s="5">
        <v>15616.826134976134</v>
      </c>
      <c r="D4" s="5" t="str">
        <f t="shared" si="1"/>
        <v>46383.17387</v>
      </c>
      <c r="K4" t="str">
        <f>K2+J2</f>
        <v>13038.34411</v>
      </c>
    </row>
    <row r="5">
      <c r="A5" s="5" t="s">
        <v>4</v>
      </c>
      <c r="B5" s="5">
        <v>20150.0</v>
      </c>
      <c r="C5" s="5">
        <v>29841.0</v>
      </c>
      <c r="D5" s="5" t="str">
        <f t="shared" si="1"/>
        <v>-9691</v>
      </c>
      <c r="H5">
        <v>10000.0</v>
      </c>
    </row>
    <row r="6">
      <c r="A6" s="5" t="s">
        <v>5</v>
      </c>
      <c r="B6" s="5">
        <v>6030.0</v>
      </c>
      <c r="C6" s="5">
        <v>15507.735225885226</v>
      </c>
      <c r="D6" s="5" t="str">
        <f t="shared" si="1"/>
        <v>-9477.735226</v>
      </c>
      <c r="H6">
        <v>4000.0</v>
      </c>
    </row>
    <row r="7">
      <c r="A7" s="5" t="s">
        <v>6</v>
      </c>
      <c r="B7" s="5">
        <v>13852.0</v>
      </c>
      <c r="C7" s="5">
        <v>10825.465384615385</v>
      </c>
      <c r="D7" s="5" t="str">
        <f t="shared" si="1"/>
        <v>3026.534615</v>
      </c>
      <c r="H7">
        <v>2500.0</v>
      </c>
    </row>
    <row r="8">
      <c r="A8" s="5" t="s">
        <v>8</v>
      </c>
      <c r="B8" s="5">
        <v>2000.0</v>
      </c>
      <c r="C8" s="5">
        <v>15616.826134976134</v>
      </c>
      <c r="D8" s="5" t="str">
        <f t="shared" si="1"/>
        <v>-13616.82613</v>
      </c>
      <c r="H8">
        <v>1200.0</v>
      </c>
    </row>
    <row r="9">
      <c r="A9" s="5" t="s">
        <v>26</v>
      </c>
      <c r="B9" s="5">
        <v>17700.0</v>
      </c>
      <c r="C9" s="5">
        <v>24811.0</v>
      </c>
      <c r="D9" s="5" t="str">
        <f t="shared" si="1"/>
        <v>-7111</v>
      </c>
      <c r="H9" t="str">
        <f>SUM(H5:H8)</f>
        <v>17700</v>
      </c>
    </row>
    <row r="10">
      <c r="A10" s="5" t="s">
        <v>27</v>
      </c>
      <c r="B10" s="5">
        <v>0.0</v>
      </c>
      <c r="C10" s="5">
        <v>10934.556293706295</v>
      </c>
      <c r="D10" s="5" t="str">
        <f t="shared" si="1"/>
        <v>-10934.55629</v>
      </c>
    </row>
    <row r="11">
      <c r="A11" s="5" t="s">
        <v>28</v>
      </c>
      <c r="B11" s="5">
        <v>0.0</v>
      </c>
      <c r="C11" s="5">
        <v>8025.420579420578</v>
      </c>
      <c r="D11" s="5" t="str">
        <f t="shared" si="1"/>
        <v>-8025.420579</v>
      </c>
      <c r="J11">
        <v>79735.8823454324</v>
      </c>
      <c r="K11">
        <v>-66697.53823398823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6.0"/>
    <col customWidth="1" min="3" max="3" width="14.29"/>
    <col customWidth="1" min="4" max="4" width="13.86"/>
    <col customWidth="1" min="5" max="5" width="22.71"/>
    <col customWidth="1" min="6" max="6" width="7.71"/>
    <col customWidth="1" min="7" max="7" width="16.86"/>
    <col customWidth="1" min="8" max="8" width="10.29"/>
    <col customWidth="1" min="9" max="9" width="10.71"/>
    <col customWidth="1" min="10" max="10" width="13.57"/>
    <col customWidth="1" min="11" max="11" width="24.14"/>
    <col customWidth="1" min="12" max="12" width="29.0"/>
    <col customWidth="1" min="13" max="13" width="12.0"/>
  </cols>
  <sheetData>
    <row r="1">
      <c r="A1" s="5"/>
      <c r="B1" s="4" t="s">
        <v>29</v>
      </c>
      <c r="C1" s="4" t="s">
        <v>30</v>
      </c>
      <c r="D1" s="4" t="s">
        <v>31</v>
      </c>
      <c r="E1" s="4" t="s">
        <v>32</v>
      </c>
      <c r="F1" s="4" t="s">
        <v>9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21</v>
      </c>
      <c r="L1" s="4" t="s">
        <v>22</v>
      </c>
      <c r="M1" s="4" t="s">
        <v>37</v>
      </c>
    </row>
    <row r="2">
      <c r="A2" s="4" t="s">
        <v>38</v>
      </c>
      <c r="B2" s="4">
        <v>1200.0</v>
      </c>
      <c r="C2" s="4">
        <v>60000.0</v>
      </c>
      <c r="D2" s="4">
        <v>22352.0</v>
      </c>
      <c r="E2" s="4">
        <v>4295.0</v>
      </c>
      <c r="F2" s="4">
        <v>29600.0</v>
      </c>
      <c r="G2" s="4">
        <v>5460.0</v>
      </c>
      <c r="H2" s="4">
        <v>30000.0</v>
      </c>
      <c r="I2" s="4">
        <v>12927.0</v>
      </c>
      <c r="J2" s="4">
        <v>3310.0</v>
      </c>
      <c r="K2" s="4">
        <v>5323.0</v>
      </c>
      <c r="L2" s="4">
        <v>1736.0</v>
      </c>
      <c r="M2" s="5" t="str">
        <f t="shared" ref="M2:M15" si="1">SUM(B2:L2)</f>
        <v>176203</v>
      </c>
    </row>
    <row r="3">
      <c r="A3" s="4" t="s">
        <v>1</v>
      </c>
      <c r="B3" s="5">
        <v>109.0909090909091</v>
      </c>
      <c r="C3" s="5">
        <v>4615.384615384615</v>
      </c>
      <c r="D3" s="5">
        <v>1719.3846153846155</v>
      </c>
      <c r="E3" s="5">
        <v>330.38461538461536</v>
      </c>
      <c r="F3" s="5">
        <v>3288.8888888888887</v>
      </c>
      <c r="G3" s="5">
        <v>841.7142857142857</v>
      </c>
      <c r="H3" s="5">
        <v>2500.0</v>
      </c>
      <c r="I3" s="5">
        <v>1077.25</v>
      </c>
      <c r="J3" s="5">
        <v>551.6666666666666</v>
      </c>
      <c r="K3" s="5">
        <v>409.46153846153845</v>
      </c>
      <c r="L3" s="5">
        <v>173.6</v>
      </c>
      <c r="M3" s="5" t="str">
        <f t="shared" si="1"/>
        <v>15616.82613</v>
      </c>
    </row>
    <row r="4">
      <c r="A4" s="4" t="s">
        <v>2</v>
      </c>
      <c r="B4" s="5">
        <v>109.0909090909091</v>
      </c>
      <c r="C4" s="5">
        <v>4615.384615384615</v>
      </c>
      <c r="D4" s="5">
        <v>1719.3846153846155</v>
      </c>
      <c r="E4" s="5">
        <v>330.38461538461536</v>
      </c>
      <c r="F4" s="5">
        <v>3288.8888888888887</v>
      </c>
      <c r="G4" s="5">
        <v>841.7142857142857</v>
      </c>
      <c r="H4" s="5">
        <v>2500.0</v>
      </c>
      <c r="I4" s="5">
        <v>1077.25</v>
      </c>
      <c r="J4" s="5">
        <v>551.6666666666666</v>
      </c>
      <c r="K4" s="5">
        <v>409.46153846153845</v>
      </c>
      <c r="L4" s="5">
        <v>173.6</v>
      </c>
      <c r="M4" s="5" t="str">
        <f t="shared" si="1"/>
        <v>15616.82613</v>
      </c>
    </row>
    <row r="5">
      <c r="A5" s="4" t="s">
        <v>4</v>
      </c>
      <c r="B5" s="5">
        <v>109.0909090909091</v>
      </c>
      <c r="C5" s="5">
        <v>4615.384615384615</v>
      </c>
      <c r="D5" s="5">
        <v>1719.3846153846155</v>
      </c>
      <c r="E5" s="5">
        <v>330.38461538461536</v>
      </c>
      <c r="F5" s="5">
        <v>3288.8888888888887</v>
      </c>
      <c r="G5" s="5">
        <v>841.7142857142857</v>
      </c>
      <c r="H5" s="5">
        <v>2500.0</v>
      </c>
      <c r="I5" s="5">
        <v>1077.25</v>
      </c>
      <c r="J5" s="5">
        <v>551.6666666666666</v>
      </c>
      <c r="K5" s="5">
        <v>409.46153846153845</v>
      </c>
      <c r="L5" s="5">
        <v>173.6</v>
      </c>
      <c r="M5" s="5" t="str">
        <f t="shared" si="1"/>
        <v>15616.82613</v>
      </c>
    </row>
    <row r="6">
      <c r="A6" s="4" t="s">
        <v>3</v>
      </c>
      <c r="B6" s="5">
        <v>109.0909090909091</v>
      </c>
      <c r="C6" s="5">
        <v>4615.384615384615</v>
      </c>
      <c r="D6" s="5">
        <v>1719.3846153846155</v>
      </c>
      <c r="E6" s="5">
        <v>330.38461538461536</v>
      </c>
      <c r="F6" s="5">
        <v>3288.8888888888887</v>
      </c>
      <c r="G6" s="5">
        <v>841.7142857142857</v>
      </c>
      <c r="H6" s="5">
        <v>2500.0</v>
      </c>
      <c r="I6" s="5">
        <v>1077.25</v>
      </c>
      <c r="J6" s="5">
        <v>551.6666666666666</v>
      </c>
      <c r="K6" s="5">
        <v>409.46153846153845</v>
      </c>
      <c r="L6" s="5">
        <v>173.6</v>
      </c>
      <c r="M6" s="5" t="str">
        <f t="shared" si="1"/>
        <v>15616.82613</v>
      </c>
    </row>
    <row r="7">
      <c r="A7" s="4" t="s">
        <v>8</v>
      </c>
      <c r="B7" s="5">
        <v>109.0909090909091</v>
      </c>
      <c r="C7" s="5">
        <v>4615.384615384615</v>
      </c>
      <c r="D7" s="5">
        <v>1719.3846153846155</v>
      </c>
      <c r="E7" s="5">
        <v>330.38461538461536</v>
      </c>
      <c r="F7" s="5">
        <v>3288.8888888888887</v>
      </c>
      <c r="G7" s="5">
        <v>841.7142857142857</v>
      </c>
      <c r="H7" s="5">
        <v>2500.0</v>
      </c>
      <c r="I7" s="5">
        <v>1077.25</v>
      </c>
      <c r="J7" s="5">
        <v>551.6666666666666</v>
      </c>
      <c r="K7" s="5">
        <v>409.46153846153845</v>
      </c>
      <c r="L7" s="5">
        <v>173.6</v>
      </c>
      <c r="M7" s="5" t="str">
        <f t="shared" si="1"/>
        <v>15616.82613</v>
      </c>
    </row>
    <row r="8">
      <c r="A8" s="4" t="s">
        <v>28</v>
      </c>
      <c r="B8" s="5">
        <v>109.0909090909091</v>
      </c>
      <c r="C8" s="5">
        <v>4615.384615384615</v>
      </c>
      <c r="D8" s="5">
        <v>1719.3846153846155</v>
      </c>
      <c r="E8" s="5">
        <v>330.38461538461536</v>
      </c>
      <c r="F8" s="5"/>
      <c r="G8" s="5">
        <v>841.7142857142857</v>
      </c>
      <c r="H8" s="5"/>
      <c r="I8" s="5"/>
      <c r="J8" s="5"/>
      <c r="K8" s="5">
        <v>409.46153846153845</v>
      </c>
      <c r="L8" s="5"/>
      <c r="M8" s="5" t="str">
        <f t="shared" si="1"/>
        <v>8025.420579</v>
      </c>
    </row>
    <row r="9">
      <c r="A9" s="4" t="s">
        <v>5</v>
      </c>
      <c r="B9" s="5"/>
      <c r="C9" s="5">
        <v>4615.384615384615</v>
      </c>
      <c r="D9" s="5">
        <v>1719.3846153846155</v>
      </c>
      <c r="E9" s="5">
        <v>330.38461538461536</v>
      </c>
      <c r="F9" s="5">
        <v>3288.8888888888887</v>
      </c>
      <c r="G9" s="5">
        <v>841.7142857142857</v>
      </c>
      <c r="H9" s="5">
        <v>2500.0</v>
      </c>
      <c r="I9" s="5">
        <v>1077.25</v>
      </c>
      <c r="J9" s="5">
        <v>551.6666666666666</v>
      </c>
      <c r="K9" s="5">
        <v>409.46153846153845</v>
      </c>
      <c r="L9" s="5">
        <v>173.6</v>
      </c>
      <c r="M9" s="5" t="str">
        <f t="shared" si="1"/>
        <v>15507.73523</v>
      </c>
    </row>
    <row r="10">
      <c r="A10" s="4" t="s">
        <v>6</v>
      </c>
      <c r="B10" s="5"/>
      <c r="C10" s="5">
        <v>4615.384615384615</v>
      </c>
      <c r="D10" s="5">
        <v>1719.3846153846155</v>
      </c>
      <c r="E10" s="5">
        <v>330.38461538461536</v>
      </c>
      <c r="F10" s="5"/>
      <c r="G10" s="5"/>
      <c r="H10" s="5">
        <v>2500.0</v>
      </c>
      <c r="I10" s="5">
        <v>1077.25</v>
      </c>
      <c r="J10" s="5"/>
      <c r="K10" s="5">
        <v>409.46153846153845</v>
      </c>
      <c r="L10" s="5">
        <v>173.6</v>
      </c>
      <c r="M10" s="5" t="str">
        <f t="shared" si="1"/>
        <v>10825.46538</v>
      </c>
    </row>
    <row r="11">
      <c r="A11" s="4" t="s">
        <v>39</v>
      </c>
      <c r="B11" s="5">
        <v>109.0909090909091</v>
      </c>
      <c r="C11" s="5">
        <v>4615.384615384615</v>
      </c>
      <c r="D11" s="5">
        <v>1719.3846153846155</v>
      </c>
      <c r="E11" s="5">
        <v>330.38461538461536</v>
      </c>
      <c r="F11" s="5">
        <v>3288.8888888888887</v>
      </c>
      <c r="G11" s="5"/>
      <c r="H11" s="5">
        <v>2500.0</v>
      </c>
      <c r="I11" s="5">
        <v>1077.25</v>
      </c>
      <c r="J11" s="5"/>
      <c r="K11" s="5">
        <v>409.46153846153845</v>
      </c>
      <c r="L11" s="5">
        <v>173.6</v>
      </c>
      <c r="M11" s="5" t="str">
        <f t="shared" si="1"/>
        <v>14223.44518</v>
      </c>
    </row>
    <row r="12">
      <c r="A12" s="4" t="s">
        <v>40</v>
      </c>
      <c r="B12" s="5">
        <v>109.0909090909091</v>
      </c>
      <c r="C12" s="5">
        <v>4615.384615384615</v>
      </c>
      <c r="D12" s="5">
        <v>1719.3846153846155</v>
      </c>
      <c r="E12" s="5">
        <v>330.38461538461536</v>
      </c>
      <c r="F12" s="5">
        <v>3288.8888888888887</v>
      </c>
      <c r="G12" s="5"/>
      <c r="H12" s="5">
        <v>2500.0</v>
      </c>
      <c r="I12" s="5">
        <v>1077.25</v>
      </c>
      <c r="J12" s="5"/>
      <c r="K12" s="5">
        <v>409.46153846153845</v>
      </c>
      <c r="L12" s="5">
        <v>173.6</v>
      </c>
      <c r="M12" s="5" t="str">
        <f t="shared" si="1"/>
        <v>14223.44518</v>
      </c>
    </row>
    <row r="13">
      <c r="A13" s="4" t="s">
        <v>27</v>
      </c>
      <c r="B13" s="5">
        <v>109.0909090909091</v>
      </c>
      <c r="C13" s="5">
        <v>4615.384615384615</v>
      </c>
      <c r="D13" s="5">
        <v>1719.3846153846155</v>
      </c>
      <c r="E13" s="5">
        <v>330.38461538461536</v>
      </c>
      <c r="F13" s="5"/>
      <c r="G13" s="5"/>
      <c r="H13" s="5">
        <v>2500.0</v>
      </c>
      <c r="I13" s="5">
        <v>1077.25</v>
      </c>
      <c r="J13" s="5"/>
      <c r="K13" s="5">
        <v>409.46153846153845</v>
      </c>
      <c r="L13" s="5">
        <v>173.6</v>
      </c>
      <c r="M13" s="5" t="str">
        <f t="shared" si="1"/>
        <v>10934.55629</v>
      </c>
    </row>
    <row r="14">
      <c r="A14" s="4" t="s">
        <v>41</v>
      </c>
      <c r="B14" s="5">
        <v>109.0909090909091</v>
      </c>
      <c r="C14" s="5">
        <v>4615.384615384615</v>
      </c>
      <c r="D14" s="5">
        <v>1719.3846153846155</v>
      </c>
      <c r="E14" s="5">
        <v>330.38461538461536</v>
      </c>
      <c r="F14" s="5"/>
      <c r="G14" s="5"/>
      <c r="H14" s="5">
        <v>2500.0</v>
      </c>
      <c r="I14" s="5">
        <v>1077.25</v>
      </c>
      <c r="J14" s="5"/>
      <c r="K14" s="5">
        <v>409.46153846153845</v>
      </c>
      <c r="L14" s="5"/>
      <c r="M14" s="5" t="str">
        <f t="shared" si="1"/>
        <v>10760.95629</v>
      </c>
    </row>
    <row r="15">
      <c r="A15" s="4" t="s">
        <v>7</v>
      </c>
      <c r="B15" s="5">
        <v>109.0909090909091</v>
      </c>
      <c r="C15" s="5">
        <v>4615.384615384615</v>
      </c>
      <c r="D15" s="5">
        <v>1719.3846153846155</v>
      </c>
      <c r="E15" s="5">
        <v>330.38461538461536</v>
      </c>
      <c r="F15" s="5">
        <v>3288.8888888888887</v>
      </c>
      <c r="G15" s="5"/>
      <c r="H15" s="5">
        <v>2500.0</v>
      </c>
      <c r="I15" s="5">
        <v>1077.25</v>
      </c>
      <c r="J15" s="5"/>
      <c r="K15" s="5">
        <v>409.46153846153845</v>
      </c>
      <c r="L15" s="5"/>
      <c r="M15" s="5" t="str">
        <f t="shared" si="1"/>
        <v>14049.84518</v>
      </c>
    </row>
    <row r="16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 t="str">
        <f>SUM(M3:M15)</f>
        <v>176635</v>
      </c>
    </row>
    <row r="17">
      <c r="A17" s="6" t="s">
        <v>42</v>
      </c>
      <c r="B17">
        <v>4200.0</v>
      </c>
    </row>
    <row r="18">
      <c r="B18" t="str">
        <f>B17/5</f>
        <v>840</v>
      </c>
    </row>
    <row r="19">
      <c r="A19" s="6" t="s">
        <v>43</v>
      </c>
    </row>
    <row r="20">
      <c r="A20" t="s">
        <v>8</v>
      </c>
      <c r="B20">
        <v>2500.0</v>
      </c>
    </row>
    <row r="21" ht="15.75" customHeight="1">
      <c r="A21" s="6" t="s">
        <v>1</v>
      </c>
      <c r="B21">
        <v>1500.0</v>
      </c>
    </row>
    <row r="22" ht="15.75" customHeight="1"/>
    <row r="23" ht="15.75" customHeight="1">
      <c r="B23" t="str">
        <f>B21+B18+M3</f>
        <v>17956.82613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6:L1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Nomad's Received</vt:lpstr>
      <vt:lpstr>Balance Transfer</vt:lpstr>
      <vt:lpstr>Split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2026-07-05T18:00:32Z</dcterms:created>
  <dc:creator>lenovo</dc:creator>
  <cp:lastModifiedBy>lenovo</cp:lastModifiedBy>
  <dcterms:modified xsi:type="dcterms:W3CDTF">2026-07-05T19:42:42Z</dcterms:modified>
</cp:coreProperties>
</file>