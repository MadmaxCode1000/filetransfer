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eeth_B\Downloads\"/>
    </mc:Choice>
  </mc:AlternateContent>
  <xr:revisionPtr revIDLastSave="0" documentId="13_ncr:1_{C5DF3646-165B-47A0-A15E-AB77154ACB82}" xr6:coauthVersionLast="47" xr6:coauthVersionMax="47" xr10:uidLastSave="{00000000-0000-0000-0000-000000000000}"/>
  <bookViews>
    <workbookView xWindow="-110" yWindow="-110" windowWidth="19420" windowHeight="11500" activeTab="2" xr2:uid="{41667659-D56A-4030-8006-3F7D75B0F478}"/>
  </bookViews>
  <sheets>
    <sheet name="Studio Construction " sheetId="3" r:id="rId1"/>
    <sheet name="Income" sheetId="7" r:id="rId2"/>
    <sheet name="Budget" sheetId="6" r:id="rId3"/>
    <sheet name="Business Ideas" sheetId="4" r:id="rId4"/>
    <sheet name="Podcast" sheetId="2" r:id="rId5"/>
    <sheet name="Film Ideas" sheetId="1" r:id="rId6"/>
    <sheet name="Things to do" sheetId="5" r:id="rId7"/>
    <sheet name="Targets" sheetId="8" r:id="rId8"/>
    <sheet name="Investment 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B8" i="6"/>
  <c r="B9" i="6" s="1"/>
  <c r="B30" i="6" s="1"/>
  <c r="B25" i="6"/>
  <c r="I31" i="6"/>
  <c r="F29" i="7"/>
  <c r="F28" i="7"/>
  <c r="F25" i="7"/>
  <c r="G3" i="7"/>
  <c r="F3" i="7"/>
</calcChain>
</file>

<file path=xl/sharedStrings.xml><?xml version="1.0" encoding="utf-8"?>
<sst xmlns="http://schemas.openxmlformats.org/spreadsheetml/2006/main" count="133" uniqueCount="120">
  <si>
    <t>LIFT</t>
  </si>
  <si>
    <t>Pillar</t>
  </si>
  <si>
    <t>Stage</t>
  </si>
  <si>
    <t>-Wall-</t>
  </si>
  <si>
    <t>Door</t>
  </si>
  <si>
    <t>Needs work</t>
  </si>
  <si>
    <t>Wall + Sound Proof</t>
  </si>
  <si>
    <r>
      <rPr>
        <sz val="11"/>
        <color theme="0"/>
        <rFont val="Aptos Narrow"/>
        <family val="2"/>
        <scheme val="minor"/>
      </rPr>
      <t>Wall+ SP</t>
    </r>
    <r>
      <rPr>
        <sz val="11"/>
        <color theme="1"/>
        <rFont val="Aptos Narrow"/>
        <family val="2"/>
        <scheme val="minor"/>
      </rPr>
      <t xml:space="preserve"> </t>
    </r>
  </si>
  <si>
    <t>Wall+Door+SP</t>
  </si>
  <si>
    <t>SP+Window remove</t>
  </si>
  <si>
    <t>Wooden +Frame</t>
  </si>
  <si>
    <t>Wall + Glass CO + SP</t>
  </si>
  <si>
    <t>Roof SP</t>
  </si>
  <si>
    <t>Roof + SP</t>
  </si>
  <si>
    <t>Staircase</t>
  </si>
  <si>
    <t xml:space="preserve">Topics </t>
  </si>
  <si>
    <t xml:space="preserve">Alone - some questions </t>
  </si>
  <si>
    <t>Project Ideas</t>
  </si>
  <si>
    <t xml:space="preserve">Character Development using Socionics </t>
  </si>
  <si>
    <t xml:space="preserve">Recording </t>
  </si>
  <si>
    <t xml:space="preserve">Film Dubbing </t>
  </si>
  <si>
    <t>Music Education</t>
  </si>
  <si>
    <t xml:space="preserve">Video Shoots </t>
  </si>
  <si>
    <t xml:space="preserve">Jam room </t>
  </si>
  <si>
    <t xml:space="preserve">Ad Shoots </t>
  </si>
  <si>
    <t xml:space="preserve">Rentals </t>
  </si>
  <si>
    <t xml:space="preserve">Podcast </t>
  </si>
  <si>
    <t>Workshops</t>
  </si>
  <si>
    <t xml:space="preserve">Agents for artist </t>
  </si>
  <si>
    <t xml:space="preserve">Acting </t>
  </si>
  <si>
    <t xml:space="preserve">Scripting Writing </t>
  </si>
  <si>
    <t xml:space="preserve">Cinematography </t>
  </si>
  <si>
    <t xml:space="preserve">Editing </t>
  </si>
  <si>
    <t xml:space="preserve">Drums </t>
  </si>
  <si>
    <t xml:space="preserve">Guitar </t>
  </si>
  <si>
    <t>Keyboard</t>
  </si>
  <si>
    <t>Theme Idea</t>
  </si>
  <si>
    <t>Sub Idea 1</t>
  </si>
  <si>
    <t>Sub Idea 2</t>
  </si>
  <si>
    <t>Sub Idea 3</t>
  </si>
  <si>
    <t>Sub Idea 4</t>
  </si>
  <si>
    <t xml:space="preserve">Songs </t>
  </si>
  <si>
    <t xml:space="preserve">Instruments </t>
  </si>
  <si>
    <t xml:space="preserve">Short Movie Dubbing </t>
  </si>
  <si>
    <t>Premier Movie Dubbing</t>
  </si>
  <si>
    <t xml:space="preserve">Studio place </t>
  </si>
  <si>
    <t xml:space="preserve">Products </t>
  </si>
  <si>
    <t xml:space="preserve">services </t>
  </si>
  <si>
    <t xml:space="preserve">Studio Place </t>
  </si>
  <si>
    <t xml:space="preserve">Podcast place </t>
  </si>
  <si>
    <t>REFER to Podcast sheet</t>
  </si>
  <si>
    <t xml:space="preserve">Read books about storytelling </t>
  </si>
  <si>
    <t>Music shoots</t>
  </si>
  <si>
    <t>Watch shoots  - BTS</t>
  </si>
  <si>
    <t xml:space="preserve">Write one page everyday </t>
  </si>
  <si>
    <t xml:space="preserve">Mixing/Editing Room </t>
  </si>
  <si>
    <t xml:space="preserve">UPVC Window </t>
  </si>
  <si>
    <t xml:space="preserve">People from different Job/Business  </t>
  </si>
  <si>
    <t xml:space="preserve">Goal </t>
  </si>
  <si>
    <t>Help young folks to get started with different business/job</t>
  </si>
  <si>
    <t xml:space="preserve">Chill </t>
  </si>
  <si>
    <t xml:space="preserve">Rent </t>
  </si>
  <si>
    <t xml:space="preserve">Salary </t>
  </si>
  <si>
    <t>Electricity</t>
  </si>
  <si>
    <t xml:space="preserve">Maintenance </t>
  </si>
  <si>
    <t xml:space="preserve">Operational Expenses </t>
  </si>
  <si>
    <t>Capital Expenses</t>
  </si>
  <si>
    <t>Instruments</t>
  </si>
  <si>
    <t xml:space="preserve">Construction </t>
  </si>
  <si>
    <t xml:space="preserve">Electrical </t>
  </si>
  <si>
    <t>UPS/Power Back up</t>
  </si>
  <si>
    <t>6 Months</t>
  </si>
  <si>
    <t>Joy - 25,000</t>
  </si>
  <si>
    <t xml:space="preserve">Jamroom </t>
  </si>
  <si>
    <t xml:space="preserve">Ruppes </t>
  </si>
  <si>
    <t>Days</t>
  </si>
  <si>
    <t>Hours</t>
  </si>
  <si>
    <t>Total</t>
  </si>
  <si>
    <t xml:space="preserve">Hours </t>
  </si>
  <si>
    <t xml:space="preserve">Best Case </t>
  </si>
  <si>
    <t>Recordings</t>
  </si>
  <si>
    <t>Education</t>
  </si>
  <si>
    <t>keyboard</t>
  </si>
  <si>
    <t xml:space="preserve">Education </t>
  </si>
  <si>
    <t xml:space="preserve">100 Student on the whole </t>
  </si>
  <si>
    <t>Audio</t>
  </si>
  <si>
    <t>Films</t>
  </si>
  <si>
    <t xml:space="preserve">Dubbing/Recording </t>
  </si>
  <si>
    <t>Workshop (40 x 4 days)</t>
  </si>
  <si>
    <t xml:space="preserve">Ad shoots </t>
  </si>
  <si>
    <t>Rentals</t>
  </si>
  <si>
    <t>Video Shoots</t>
  </si>
  <si>
    <t xml:space="preserve">with editing </t>
  </si>
  <si>
    <t>Chruch</t>
  </si>
  <si>
    <t xml:space="preserve">Emergency </t>
  </si>
  <si>
    <t xml:space="preserve">BASE Amp </t>
  </si>
  <si>
    <t xml:space="preserve">Drum kit </t>
  </si>
  <si>
    <t xml:space="preserve">Base Guitar </t>
  </si>
  <si>
    <t xml:space="preserve">Acoustic Guitar </t>
  </si>
  <si>
    <t xml:space="preserve">UI24 Mixer </t>
  </si>
  <si>
    <t xml:space="preserve">Studio Monitors </t>
  </si>
  <si>
    <t xml:space="preserve">Instrumental cables </t>
  </si>
  <si>
    <t xml:space="preserve">Mic </t>
  </si>
  <si>
    <t>Secondary mics</t>
  </si>
  <si>
    <t xml:space="preserve">Drum kit mics </t>
  </si>
  <si>
    <t xml:space="preserve">Guitar Amps </t>
  </si>
  <si>
    <t xml:space="preserve">PA Systems (Speaker) </t>
  </si>
  <si>
    <t xml:space="preserve">Headphones </t>
  </si>
  <si>
    <t xml:space="preserve">Others </t>
  </si>
  <si>
    <t xml:space="preserve">LIFT back entrance </t>
  </si>
  <si>
    <t xml:space="preserve">pvc/pop wall till the mixing room </t>
  </si>
  <si>
    <t xml:space="preserve">Camera </t>
  </si>
  <si>
    <t>AC</t>
  </si>
  <si>
    <t xml:space="preserve">Mini Cooler </t>
  </si>
  <si>
    <t xml:space="preserve">Total Budget </t>
  </si>
  <si>
    <t xml:space="preserve">Marketing </t>
  </si>
  <si>
    <t>Ranjeeth</t>
  </si>
  <si>
    <t>Joyson</t>
  </si>
  <si>
    <t xml:space="preserve">Kavya </t>
  </si>
  <si>
    <t xml:space="preserve">Online workshop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</si>
</sst>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8"/>
      <color theme="2"/>
      <name val="Aptos Narrow"/>
      <family val="2"/>
      <scheme val="minor"/>
    </font>
    <font>
      <sz val="5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3" borderId="0" xfId="0" applyFont="1" applyFill="1" applyAlignment="1">
      <alignment horizontal="center" vertical="center" wrapText="1"/>
    </xf>
    <xf numFmtId="0" fontId="0" fillId="5" borderId="0" xfId="0" applyFill="1"/>
    <xf numFmtId="0" fontId="3" fillId="9" borderId="0" xfId="0" applyFont="1" applyFill="1" applyAlignment="1">
      <alignment horizontal="center" vertical="center"/>
    </xf>
    <xf numFmtId="0" fontId="0" fillId="10" borderId="0" xfId="0" applyFill="1"/>
    <xf numFmtId="0" fontId="3" fillId="7" borderId="0" xfId="0" applyFont="1" applyFill="1"/>
    <xf numFmtId="0" fontId="3" fillId="7" borderId="9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8" xfId="0" applyFill="1" applyBorder="1"/>
    <xf numFmtId="0" fontId="0" fillId="4" borderId="0" xfId="0" applyFill="1"/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49" fontId="2" fillId="10" borderId="16" xfId="0" applyNumberFormat="1" applyFont="1" applyFill="1" applyBorder="1"/>
    <xf numFmtId="0" fontId="2" fillId="11" borderId="17" xfId="0" applyFont="1" applyFill="1" applyBorder="1" applyAlignment="1">
      <alignment horizontal="center" vertical="center"/>
    </xf>
    <xf numFmtId="49" fontId="4" fillId="10" borderId="16" xfId="0" applyNumberFormat="1" applyFont="1" applyFill="1" applyBorder="1" applyAlignment="1">
      <alignment horizontal="center" vertical="center"/>
    </xf>
    <xf numFmtId="49" fontId="6" fillId="10" borderId="16" xfId="0" applyNumberFormat="1" applyFont="1" applyFill="1" applyBorder="1"/>
    <xf numFmtId="0" fontId="0" fillId="10" borderId="19" xfId="0" applyFill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13" borderId="2" xfId="0" applyFill="1" applyBorder="1"/>
    <xf numFmtId="0" fontId="0" fillId="13" borderId="0" xfId="0" applyFill="1"/>
    <xf numFmtId="0" fontId="0" fillId="14" borderId="0" xfId="0" applyFill="1"/>
    <xf numFmtId="0" fontId="1" fillId="0" borderId="0" xfId="0" applyFont="1"/>
    <xf numFmtId="0" fontId="2" fillId="9" borderId="2" xfId="0" applyFont="1" applyFill="1" applyBorder="1" applyAlignment="1">
      <alignment textRotation="255" wrapText="1"/>
    </xf>
    <xf numFmtId="3" fontId="0" fillId="0" borderId="0" xfId="0" applyNumberFormat="1"/>
    <xf numFmtId="16" fontId="0" fillId="0" borderId="0" xfId="0" applyNumberFormat="1"/>
    <xf numFmtId="0" fontId="9" fillId="10" borderId="10" xfId="0" applyFont="1" applyFill="1" applyBorder="1" applyAlignment="1">
      <alignment horizontal="center" textRotation="255"/>
    </xf>
    <xf numFmtId="0" fontId="9" fillId="10" borderId="13" xfId="0" applyFont="1" applyFill="1" applyBorder="1" applyAlignment="1">
      <alignment horizontal="center" textRotation="255"/>
    </xf>
    <xf numFmtId="0" fontId="9" fillId="10" borderId="15" xfId="0" applyFont="1" applyFill="1" applyBorder="1" applyAlignment="1">
      <alignment horizontal="center" textRotation="255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8" fillId="6" borderId="14" xfId="0" applyFont="1" applyFill="1" applyBorder="1" applyAlignment="1">
      <alignment horizontal="center" textRotation="255" wrapText="1"/>
    </xf>
    <xf numFmtId="0" fontId="0" fillId="8" borderId="0" xfId="0" applyFill="1" applyAlignment="1">
      <alignment horizontal="center" vertical="center" wrapText="1"/>
    </xf>
    <xf numFmtId="0" fontId="0" fillId="10" borderId="18" xfId="0" applyFill="1" applyBorder="1" applyAlignment="1">
      <alignment horizontal="center" wrapText="1"/>
    </xf>
    <xf numFmtId="0" fontId="2" fillId="10" borderId="11" xfId="0" applyFont="1" applyFill="1" applyBorder="1" applyAlignment="1">
      <alignment horizontal="center" wrapText="1"/>
    </xf>
    <xf numFmtId="0" fontId="7" fillId="10" borderId="0" xfId="0" applyFont="1" applyFill="1" applyAlignment="1">
      <alignment horizontal="center" textRotation="255"/>
    </xf>
    <xf numFmtId="0" fontId="5" fillId="10" borderId="0" xfId="0" applyFont="1" applyFill="1" applyAlignment="1">
      <alignment horizontal="center" textRotation="255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46FE-3473-4197-A6B0-4DB6854B52F2}">
  <dimension ref="A1:W29"/>
  <sheetViews>
    <sheetView zoomScaleNormal="130" workbookViewId="0">
      <selection activeCell="L8" sqref="L8"/>
    </sheetView>
  </sheetViews>
  <sheetFormatPr defaultRowHeight="14.5" x14ac:dyDescent="0.35"/>
  <cols>
    <col min="3" max="3" width="9.1796875" customWidth="1"/>
    <col min="4" max="4" width="2.54296875" customWidth="1"/>
    <col min="5" max="5" width="6.08984375" customWidth="1"/>
    <col min="6" max="6" width="7.6328125" customWidth="1"/>
    <col min="7" max="7" width="3.6328125" customWidth="1"/>
    <col min="12" max="12" width="14.36328125" customWidth="1"/>
    <col min="13" max="13" width="1.90625" customWidth="1"/>
    <col min="14" max="14" width="3.1796875" customWidth="1"/>
  </cols>
  <sheetData>
    <row r="1" spans="1:23" x14ac:dyDescent="0.3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</row>
    <row r="2" spans="1:23" ht="15" thickBot="1" x14ac:dyDescent="0.4">
      <c r="A2" s="4"/>
      <c r="B2" s="2"/>
      <c r="C2" s="2"/>
      <c r="D2" s="2"/>
      <c r="E2" s="2"/>
      <c r="F2" s="2"/>
      <c r="G2" s="18"/>
      <c r="H2" s="18"/>
      <c r="I2" s="18"/>
      <c r="J2" s="18"/>
      <c r="K2" s="18"/>
      <c r="L2" s="18"/>
      <c r="M2" s="18"/>
      <c r="N2" s="18"/>
      <c r="O2" s="4"/>
    </row>
    <row r="3" spans="1:23" x14ac:dyDescent="0.35">
      <c r="A3" s="5"/>
      <c r="B3" s="12"/>
      <c r="C3" s="13"/>
      <c r="D3" s="13"/>
      <c r="E3" s="27"/>
      <c r="F3" s="27"/>
      <c r="G3" s="34" t="s">
        <v>11</v>
      </c>
      <c r="H3" s="49" t="s">
        <v>6</v>
      </c>
      <c r="I3" s="49"/>
      <c r="J3" s="49"/>
      <c r="K3" s="44" t="s">
        <v>7</v>
      </c>
      <c r="L3" s="44"/>
      <c r="M3" s="44"/>
      <c r="N3" s="45"/>
      <c r="O3" s="17"/>
    </row>
    <row r="4" spans="1:23" x14ac:dyDescent="0.35">
      <c r="A4" s="5"/>
      <c r="B4" s="14"/>
      <c r="C4" s="15"/>
      <c r="D4" s="15"/>
      <c r="E4" s="28"/>
      <c r="F4" s="28"/>
      <c r="G4" s="35"/>
      <c r="H4" s="47" t="s">
        <v>2</v>
      </c>
      <c r="I4" s="47"/>
      <c r="J4" s="47"/>
      <c r="K4" s="7"/>
      <c r="L4" s="7"/>
      <c r="M4" s="50" t="s">
        <v>8</v>
      </c>
      <c r="N4" s="46" t="s">
        <v>10</v>
      </c>
      <c r="O4" s="17"/>
    </row>
    <row r="5" spans="1:23" x14ac:dyDescent="0.35">
      <c r="A5" s="5"/>
      <c r="B5" s="14"/>
      <c r="C5" s="15"/>
      <c r="D5" s="15"/>
      <c r="E5" s="28"/>
      <c r="F5" s="28"/>
      <c r="G5" s="35"/>
      <c r="H5" s="47"/>
      <c r="I5" s="47"/>
      <c r="J5" s="47"/>
      <c r="K5" s="7"/>
      <c r="L5" s="7"/>
      <c r="M5" s="51"/>
      <c r="N5" s="46"/>
      <c r="O5" s="17"/>
    </row>
    <row r="6" spans="1:23" x14ac:dyDescent="0.35">
      <c r="A6" s="5"/>
      <c r="B6" s="14"/>
      <c r="C6" s="15"/>
      <c r="D6" s="15"/>
      <c r="E6" s="28"/>
      <c r="F6" s="28"/>
      <c r="G6" s="35"/>
      <c r="H6" s="7"/>
      <c r="I6" s="7"/>
      <c r="J6" s="7"/>
      <c r="K6" s="7"/>
      <c r="L6" s="7" t="s">
        <v>13</v>
      </c>
      <c r="M6" s="51"/>
      <c r="N6" s="46"/>
      <c r="O6" s="17"/>
      <c r="V6" s="9"/>
      <c r="W6" t="s">
        <v>5</v>
      </c>
    </row>
    <row r="7" spans="1:23" x14ac:dyDescent="0.35">
      <c r="A7" s="5"/>
      <c r="B7" s="14"/>
      <c r="C7" s="15" t="s">
        <v>55</v>
      </c>
      <c r="D7" s="15"/>
      <c r="E7" s="28"/>
      <c r="F7" s="28"/>
      <c r="G7" s="35"/>
      <c r="H7" s="7"/>
      <c r="I7" s="7"/>
      <c r="J7" s="7"/>
      <c r="K7" s="7"/>
      <c r="L7" s="7"/>
      <c r="M7" s="51"/>
      <c r="N7" s="46"/>
      <c r="O7" s="17"/>
    </row>
    <row r="8" spans="1:23" x14ac:dyDescent="0.35">
      <c r="A8" s="5"/>
      <c r="B8" s="14"/>
      <c r="C8" s="15"/>
      <c r="D8" s="15"/>
      <c r="E8" s="15"/>
      <c r="F8" s="15"/>
      <c r="G8" s="35"/>
      <c r="H8" s="7"/>
      <c r="I8" s="7" t="s">
        <v>12</v>
      </c>
      <c r="J8" s="7"/>
      <c r="K8" s="7"/>
      <c r="L8" s="7"/>
      <c r="M8" s="51"/>
      <c r="N8" s="46"/>
      <c r="O8" s="17"/>
    </row>
    <row r="9" spans="1:23" x14ac:dyDescent="0.35">
      <c r="A9" s="5"/>
      <c r="B9" s="14"/>
      <c r="C9" s="15"/>
      <c r="D9" s="15"/>
      <c r="E9" s="15"/>
      <c r="F9" s="15"/>
      <c r="G9" s="35"/>
      <c r="H9" s="7"/>
      <c r="I9" s="7"/>
      <c r="J9" s="7"/>
      <c r="K9" s="7"/>
      <c r="L9" s="7"/>
      <c r="M9" s="51"/>
      <c r="N9" s="46"/>
      <c r="O9" s="17"/>
    </row>
    <row r="10" spans="1:23" x14ac:dyDescent="0.35">
      <c r="A10" s="5"/>
      <c r="B10" s="14"/>
      <c r="C10" s="15"/>
      <c r="D10" s="15"/>
      <c r="E10" s="15"/>
      <c r="F10" s="15"/>
      <c r="G10" s="35"/>
      <c r="H10" s="7"/>
      <c r="I10" s="7"/>
      <c r="J10" s="7"/>
      <c r="K10" s="7"/>
      <c r="L10" s="7"/>
      <c r="M10" s="51"/>
      <c r="N10" s="46"/>
      <c r="O10" s="18"/>
    </row>
    <row r="11" spans="1:23" x14ac:dyDescent="0.35">
      <c r="A11" s="5"/>
      <c r="B11" s="14"/>
      <c r="C11" s="15"/>
      <c r="D11" s="15"/>
      <c r="E11" s="15"/>
      <c r="F11" s="15"/>
      <c r="G11" s="35"/>
      <c r="H11" s="7"/>
      <c r="I11" s="7"/>
      <c r="J11" s="7"/>
      <c r="K11" s="7"/>
      <c r="L11" s="7"/>
      <c r="M11" s="51"/>
      <c r="N11" s="46"/>
      <c r="O11" s="18"/>
    </row>
    <row r="12" spans="1:23" ht="15" thickBot="1" x14ac:dyDescent="0.4">
      <c r="A12" s="5"/>
      <c r="B12" s="14"/>
      <c r="C12" s="8" t="s">
        <v>4</v>
      </c>
      <c r="D12" s="15"/>
      <c r="E12" s="15"/>
      <c r="F12" s="15"/>
      <c r="G12" s="36"/>
      <c r="H12" s="19" t="s">
        <v>3</v>
      </c>
      <c r="I12" s="20" t="s">
        <v>4</v>
      </c>
      <c r="J12" s="48" t="s">
        <v>1</v>
      </c>
      <c r="K12" s="48"/>
      <c r="L12" s="21" t="s">
        <v>9</v>
      </c>
      <c r="M12" s="22"/>
      <c r="N12" s="23"/>
      <c r="O12" s="18"/>
    </row>
    <row r="13" spans="1:23" x14ac:dyDescent="0.35">
      <c r="A13" s="5"/>
      <c r="E13" s="10"/>
      <c r="F13" s="10"/>
      <c r="G13" s="10"/>
      <c r="H13" s="10"/>
      <c r="I13" s="10"/>
      <c r="J13" s="10"/>
      <c r="K13" s="10"/>
      <c r="L13" s="37" t="s">
        <v>14</v>
      </c>
      <c r="M13" s="38"/>
      <c r="N13" s="39"/>
      <c r="O13" s="16"/>
    </row>
    <row r="14" spans="1:23" x14ac:dyDescent="0.35">
      <c r="A14" s="5"/>
      <c r="E14" s="10"/>
      <c r="F14" s="10"/>
      <c r="G14" s="10"/>
      <c r="H14" s="10"/>
      <c r="I14" s="10"/>
      <c r="J14" s="10"/>
      <c r="K14" s="10"/>
      <c r="L14" s="38"/>
      <c r="M14" s="38"/>
      <c r="N14" s="39"/>
      <c r="O14" s="16"/>
    </row>
    <row r="15" spans="1:23" x14ac:dyDescent="0.35">
      <c r="A15" s="5"/>
      <c r="E15" s="10"/>
      <c r="F15" s="10"/>
      <c r="G15" s="10"/>
      <c r="H15" s="10"/>
      <c r="I15" s="10"/>
      <c r="J15" s="10"/>
      <c r="K15" s="10"/>
      <c r="L15" s="38"/>
      <c r="M15" s="38"/>
      <c r="N15" s="39"/>
      <c r="O15" s="16"/>
    </row>
    <row r="16" spans="1:23" x14ac:dyDescent="0.35">
      <c r="A16" s="5"/>
      <c r="E16" s="10"/>
      <c r="F16" s="10"/>
      <c r="G16" s="10"/>
      <c r="H16" s="10"/>
      <c r="I16" s="10"/>
      <c r="J16" s="10"/>
      <c r="K16" s="10"/>
      <c r="L16" s="38"/>
      <c r="M16" s="38"/>
      <c r="N16" s="39"/>
      <c r="O16" s="16"/>
      <c r="R16" t="s">
        <v>109</v>
      </c>
    </row>
    <row r="17" spans="1:18" x14ac:dyDescent="0.35">
      <c r="A17" s="5"/>
      <c r="E17" s="10"/>
      <c r="F17" s="10"/>
      <c r="G17" s="10"/>
      <c r="H17" s="10"/>
      <c r="I17" s="10"/>
      <c r="J17" s="10"/>
      <c r="K17" s="10"/>
      <c r="L17" s="38"/>
      <c r="M17" s="38"/>
      <c r="N17" s="39"/>
      <c r="O17" s="16"/>
      <c r="R17" t="s">
        <v>110</v>
      </c>
    </row>
    <row r="18" spans="1:18" x14ac:dyDescent="0.35">
      <c r="A18" s="5"/>
      <c r="E18" s="10"/>
      <c r="F18" s="10"/>
      <c r="G18" s="10"/>
      <c r="H18" s="10"/>
      <c r="I18" s="10"/>
      <c r="J18" s="10"/>
      <c r="K18" s="10"/>
      <c r="L18" s="38"/>
      <c r="M18" s="38"/>
      <c r="N18" s="39"/>
      <c r="O18" s="16"/>
    </row>
    <row r="19" spans="1:18" x14ac:dyDescent="0.35">
      <c r="A19" s="5"/>
      <c r="E19" s="10"/>
      <c r="F19" s="10"/>
      <c r="G19" s="10"/>
      <c r="H19" s="10"/>
      <c r="I19" s="10"/>
      <c r="J19" s="10"/>
      <c r="K19" s="10"/>
      <c r="L19" s="38"/>
      <c r="M19" s="38"/>
      <c r="N19" s="39"/>
      <c r="O19" s="16"/>
    </row>
    <row r="20" spans="1:18" x14ac:dyDescent="0.35">
      <c r="A20" s="5"/>
      <c r="E20" s="10"/>
      <c r="F20" s="10"/>
      <c r="G20" s="10"/>
      <c r="H20" s="10"/>
      <c r="I20" s="10"/>
      <c r="J20" s="10"/>
      <c r="K20" s="10"/>
      <c r="L20" s="38"/>
      <c r="M20" s="38"/>
      <c r="N20" s="39"/>
      <c r="O20" s="16"/>
    </row>
    <row r="21" spans="1:18" x14ac:dyDescent="0.35">
      <c r="A21" s="5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6"/>
    </row>
    <row r="22" spans="1:18" x14ac:dyDescent="0.35">
      <c r="A22" s="5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6"/>
    </row>
    <row r="23" spans="1:18" x14ac:dyDescent="0.35">
      <c r="A23" s="5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6"/>
    </row>
    <row r="24" spans="1:18" x14ac:dyDescent="0.35">
      <c r="A24" s="5"/>
      <c r="B24" s="40" t="s">
        <v>0</v>
      </c>
      <c r="C24" s="41"/>
      <c r="D24" s="6"/>
      <c r="O24" s="16"/>
    </row>
    <row r="25" spans="1:18" x14ac:dyDescent="0.35">
      <c r="A25" s="5"/>
      <c r="B25" s="40"/>
      <c r="C25" s="41"/>
      <c r="D25" s="6"/>
      <c r="O25" s="5"/>
    </row>
    <row r="26" spans="1:18" x14ac:dyDescent="0.35">
      <c r="A26" s="5"/>
      <c r="B26" s="40"/>
      <c r="C26" s="41"/>
      <c r="D26" s="6"/>
      <c r="O26" s="5"/>
    </row>
    <row r="27" spans="1:18" x14ac:dyDescent="0.35">
      <c r="A27" s="5"/>
      <c r="B27" s="42"/>
      <c r="C27" s="43"/>
      <c r="D27" s="6"/>
      <c r="E27" s="31"/>
      <c r="O27" s="5"/>
    </row>
    <row r="28" spans="1:18" x14ac:dyDescent="0.3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/>
    </row>
    <row r="29" spans="1:18" x14ac:dyDescent="0.35">
      <c r="A29" s="4"/>
      <c r="B29" s="2"/>
      <c r="C29" s="2"/>
      <c r="D29" s="2"/>
      <c r="E29" s="2"/>
      <c r="F29" s="2"/>
      <c r="G29" s="2"/>
      <c r="H29" s="2"/>
      <c r="I29" s="2" t="s">
        <v>56</v>
      </c>
      <c r="J29" s="2"/>
      <c r="K29" s="2"/>
      <c r="L29" s="2"/>
      <c r="M29" s="2"/>
      <c r="N29" s="2"/>
      <c r="O29" s="4"/>
    </row>
  </sheetData>
  <mergeCells count="9">
    <mergeCell ref="G3:G12"/>
    <mergeCell ref="L13:N20"/>
    <mergeCell ref="B24:C27"/>
    <mergeCell ref="K3:N3"/>
    <mergeCell ref="N4:N11"/>
    <mergeCell ref="H4:J5"/>
    <mergeCell ref="J12:K12"/>
    <mergeCell ref="H3:J3"/>
    <mergeCell ref="M4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4DC7-1F74-403D-8031-3D636ED7E410}">
  <dimension ref="A1:P29"/>
  <sheetViews>
    <sheetView workbookViewId="0">
      <selection activeCell="F3" sqref="F3"/>
    </sheetView>
  </sheetViews>
  <sheetFormatPr defaultRowHeight="14.5" x14ac:dyDescent="0.35"/>
  <cols>
    <col min="1" max="1" width="24.453125" customWidth="1"/>
    <col min="3" max="3" width="12.26953125" customWidth="1"/>
  </cols>
  <sheetData>
    <row r="1" spans="1:16" x14ac:dyDescent="0.35">
      <c r="B1" t="s">
        <v>74</v>
      </c>
      <c r="C1" t="s">
        <v>75</v>
      </c>
      <c r="D1" t="s">
        <v>76</v>
      </c>
      <c r="E1" t="s">
        <v>78</v>
      </c>
      <c r="F1" t="s">
        <v>77</v>
      </c>
      <c r="G1" t="s">
        <v>79</v>
      </c>
    </row>
    <row r="2" spans="1:16" x14ac:dyDescent="0.35">
      <c r="A2" t="s">
        <v>85</v>
      </c>
    </row>
    <row r="3" spans="1:16" x14ac:dyDescent="0.35">
      <c r="A3" t="s">
        <v>73</v>
      </c>
      <c r="B3">
        <v>600</v>
      </c>
      <c r="C3">
        <v>26</v>
      </c>
      <c r="D3">
        <v>4</v>
      </c>
      <c r="E3">
        <v>8</v>
      </c>
      <c r="F3">
        <f>B3*C3*D3</f>
        <v>62400</v>
      </c>
      <c r="G3">
        <f>B3*C3*E3</f>
        <v>124800</v>
      </c>
    </row>
    <row r="4" spans="1:16" x14ac:dyDescent="0.35">
      <c r="A4" t="s">
        <v>80</v>
      </c>
      <c r="B4">
        <v>3000</v>
      </c>
      <c r="C4">
        <v>10</v>
      </c>
      <c r="F4">
        <v>30000</v>
      </c>
    </row>
    <row r="5" spans="1:16" x14ac:dyDescent="0.35">
      <c r="A5" t="s">
        <v>81</v>
      </c>
      <c r="B5">
        <v>2500</v>
      </c>
      <c r="F5">
        <v>250000</v>
      </c>
    </row>
    <row r="6" spans="1:16" x14ac:dyDescent="0.35">
      <c r="A6" t="s">
        <v>88</v>
      </c>
      <c r="F6">
        <v>20000</v>
      </c>
    </row>
    <row r="8" spans="1:16" x14ac:dyDescent="0.35">
      <c r="A8" t="s">
        <v>86</v>
      </c>
    </row>
    <row r="9" spans="1:16" x14ac:dyDescent="0.35">
      <c r="A9" t="s">
        <v>87</v>
      </c>
      <c r="B9">
        <v>30000</v>
      </c>
      <c r="F9">
        <v>30000</v>
      </c>
    </row>
    <row r="10" spans="1:16" x14ac:dyDescent="0.35">
      <c r="A10" t="s">
        <v>119</v>
      </c>
    </row>
    <row r="12" spans="1:16" x14ac:dyDescent="0.35">
      <c r="A12" t="s">
        <v>27</v>
      </c>
    </row>
    <row r="13" spans="1:16" x14ac:dyDescent="0.35">
      <c r="A13" t="s">
        <v>32</v>
      </c>
      <c r="F13">
        <v>20000</v>
      </c>
    </row>
    <row r="14" spans="1:16" x14ac:dyDescent="0.35">
      <c r="A14" t="s">
        <v>30</v>
      </c>
      <c r="F14">
        <v>20000</v>
      </c>
    </row>
    <row r="15" spans="1:16" x14ac:dyDescent="0.35">
      <c r="A15" t="s">
        <v>29</v>
      </c>
      <c r="F15">
        <v>20000</v>
      </c>
      <c r="N15" t="s">
        <v>34</v>
      </c>
      <c r="O15">
        <v>10</v>
      </c>
      <c r="P15">
        <v>2500</v>
      </c>
    </row>
    <row r="16" spans="1:16" x14ac:dyDescent="0.35">
      <c r="N16" t="s">
        <v>33</v>
      </c>
      <c r="O16">
        <v>10</v>
      </c>
      <c r="P16">
        <v>2500</v>
      </c>
    </row>
    <row r="17" spans="1:16" x14ac:dyDescent="0.35">
      <c r="A17" t="s">
        <v>26</v>
      </c>
      <c r="F17">
        <v>20000</v>
      </c>
      <c r="N17" t="s">
        <v>82</v>
      </c>
      <c r="O17">
        <v>10</v>
      </c>
      <c r="P17">
        <v>2500</v>
      </c>
    </row>
    <row r="19" spans="1:16" x14ac:dyDescent="0.35">
      <c r="A19" t="s">
        <v>90</v>
      </c>
    </row>
    <row r="20" spans="1:16" x14ac:dyDescent="0.35">
      <c r="A20" t="s">
        <v>26</v>
      </c>
      <c r="B20">
        <v>20000</v>
      </c>
      <c r="C20" t="s">
        <v>92</v>
      </c>
      <c r="D20">
        <v>10</v>
      </c>
      <c r="E20">
        <v>4</v>
      </c>
      <c r="F20">
        <v>80000</v>
      </c>
    </row>
    <row r="21" spans="1:16" x14ac:dyDescent="0.35">
      <c r="A21" t="s">
        <v>91</v>
      </c>
      <c r="B21">
        <v>10000</v>
      </c>
      <c r="E21">
        <v>2</v>
      </c>
      <c r="F21">
        <v>20000</v>
      </c>
    </row>
    <row r="22" spans="1:16" x14ac:dyDescent="0.35">
      <c r="A22" t="s">
        <v>93</v>
      </c>
      <c r="B22">
        <v>15000</v>
      </c>
      <c r="E22">
        <v>2</v>
      </c>
      <c r="F22">
        <v>30000</v>
      </c>
    </row>
    <row r="24" spans="1:16" x14ac:dyDescent="0.35">
      <c r="A24" t="s">
        <v>89</v>
      </c>
      <c r="F24">
        <v>20000</v>
      </c>
    </row>
    <row r="25" spans="1:16" x14ac:dyDescent="0.35">
      <c r="F25" s="30">
        <f>SUM(F3:F24)</f>
        <v>622400</v>
      </c>
      <c r="G25">
        <f>1.5*F25</f>
        <v>933600</v>
      </c>
    </row>
    <row r="28" spans="1:16" x14ac:dyDescent="0.35">
      <c r="F28">
        <f>F25-150000</f>
        <v>472400</v>
      </c>
    </row>
    <row r="29" spans="1:16" x14ac:dyDescent="0.35">
      <c r="F29">
        <f>F28-50000</f>
        <v>422400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7C30-AF0F-4D10-B852-A14A3B0A3470}">
  <dimension ref="A1:I31"/>
  <sheetViews>
    <sheetView tabSelected="1" workbookViewId="0">
      <selection activeCell="I14" sqref="I14:I30"/>
    </sheetView>
  </sheetViews>
  <sheetFormatPr defaultColWidth="17.453125" defaultRowHeight="14.5" x14ac:dyDescent="0.35"/>
  <cols>
    <col min="1" max="1" width="20.81640625" customWidth="1"/>
  </cols>
  <sheetData>
    <row r="1" spans="1:9" x14ac:dyDescent="0.35">
      <c r="A1" t="s">
        <v>71</v>
      </c>
    </row>
    <row r="2" spans="1:9" x14ac:dyDescent="0.35">
      <c r="A2" s="7" t="s">
        <v>65</v>
      </c>
    </row>
    <row r="3" spans="1:9" x14ac:dyDescent="0.35">
      <c r="A3" t="s">
        <v>61</v>
      </c>
      <c r="B3">
        <v>50000</v>
      </c>
      <c r="D3">
        <v>50000</v>
      </c>
    </row>
    <row r="4" spans="1:9" x14ac:dyDescent="0.35">
      <c r="A4" t="s">
        <v>62</v>
      </c>
      <c r="B4" s="32">
        <v>25000</v>
      </c>
      <c r="C4" t="s">
        <v>72</v>
      </c>
    </row>
    <row r="5" spans="1:9" x14ac:dyDescent="0.35">
      <c r="A5" t="s">
        <v>63</v>
      </c>
      <c r="B5">
        <v>10000</v>
      </c>
    </row>
    <row r="6" spans="1:9" x14ac:dyDescent="0.35">
      <c r="A6" t="s">
        <v>64</v>
      </c>
      <c r="B6">
        <v>2000</v>
      </c>
    </row>
    <row r="7" spans="1:9" x14ac:dyDescent="0.35">
      <c r="A7" t="s">
        <v>94</v>
      </c>
      <c r="B7">
        <v>10000</v>
      </c>
    </row>
    <row r="8" spans="1:9" x14ac:dyDescent="0.35">
      <c r="B8" s="30">
        <f>SUM(B3:B7)</f>
        <v>97000</v>
      </c>
    </row>
    <row r="9" spans="1:9" x14ac:dyDescent="0.35">
      <c r="B9">
        <f>6*B8</f>
        <v>582000</v>
      </c>
    </row>
    <row r="10" spans="1:9" x14ac:dyDescent="0.35">
      <c r="B10">
        <v>300000</v>
      </c>
    </row>
    <row r="14" spans="1:9" x14ac:dyDescent="0.35">
      <c r="G14">
        <v>1</v>
      </c>
      <c r="H14" t="s">
        <v>95</v>
      </c>
      <c r="I14">
        <v>60000</v>
      </c>
    </row>
    <row r="15" spans="1:9" x14ac:dyDescent="0.35">
      <c r="G15">
        <v>1</v>
      </c>
      <c r="H15" t="s">
        <v>96</v>
      </c>
      <c r="I15">
        <v>40000</v>
      </c>
    </row>
    <row r="16" spans="1:9" x14ac:dyDescent="0.35">
      <c r="G16">
        <v>1</v>
      </c>
      <c r="H16" t="s">
        <v>97</v>
      </c>
      <c r="I16">
        <v>10000</v>
      </c>
    </row>
    <row r="17" spans="1:9" x14ac:dyDescent="0.35">
      <c r="A17" s="29" t="s">
        <v>66</v>
      </c>
      <c r="G17">
        <v>1</v>
      </c>
      <c r="H17" t="s">
        <v>34</v>
      </c>
      <c r="I17">
        <v>10000</v>
      </c>
    </row>
    <row r="18" spans="1:9" x14ac:dyDescent="0.35">
      <c r="A18" t="s">
        <v>67</v>
      </c>
      <c r="B18">
        <v>562000</v>
      </c>
      <c r="G18">
        <v>1</v>
      </c>
      <c r="H18" t="s">
        <v>98</v>
      </c>
      <c r="I18">
        <v>10000</v>
      </c>
    </row>
    <row r="19" spans="1:9" x14ac:dyDescent="0.35">
      <c r="A19" t="s">
        <v>68</v>
      </c>
      <c r="B19">
        <v>500000</v>
      </c>
      <c r="G19">
        <v>1</v>
      </c>
      <c r="H19" t="s">
        <v>35</v>
      </c>
      <c r="I19">
        <v>12000</v>
      </c>
    </row>
    <row r="20" spans="1:9" x14ac:dyDescent="0.35">
      <c r="A20" t="s">
        <v>69</v>
      </c>
      <c r="B20">
        <v>20000</v>
      </c>
      <c r="G20">
        <v>1</v>
      </c>
      <c r="H20" t="s">
        <v>99</v>
      </c>
      <c r="I20">
        <v>50000</v>
      </c>
    </row>
    <row r="21" spans="1:9" x14ac:dyDescent="0.35">
      <c r="A21" t="s">
        <v>70</v>
      </c>
      <c r="B21">
        <v>100000</v>
      </c>
      <c r="G21">
        <v>1</v>
      </c>
      <c r="H21" t="s">
        <v>100</v>
      </c>
      <c r="I21">
        <v>35000</v>
      </c>
    </row>
    <row r="22" spans="1:9" x14ac:dyDescent="0.35">
      <c r="A22" t="s">
        <v>111</v>
      </c>
      <c r="B22">
        <v>10000</v>
      </c>
      <c r="G22">
        <v>1</v>
      </c>
      <c r="H22" t="s">
        <v>101</v>
      </c>
      <c r="I22">
        <v>15000</v>
      </c>
    </row>
    <row r="23" spans="1:9" x14ac:dyDescent="0.35">
      <c r="A23" t="s">
        <v>112</v>
      </c>
      <c r="B23">
        <v>60000</v>
      </c>
      <c r="G23">
        <v>2</v>
      </c>
      <c r="H23" t="s">
        <v>102</v>
      </c>
      <c r="I23">
        <v>70000</v>
      </c>
    </row>
    <row r="24" spans="1:9" x14ac:dyDescent="0.35">
      <c r="A24" t="s">
        <v>113</v>
      </c>
      <c r="B24">
        <v>30000</v>
      </c>
      <c r="G24">
        <v>1</v>
      </c>
      <c r="H24" t="s">
        <v>103</v>
      </c>
      <c r="I24">
        <v>35000</v>
      </c>
    </row>
    <row r="25" spans="1:9" x14ac:dyDescent="0.35">
      <c r="B25" s="30">
        <f>SUM(B18:B24)</f>
        <v>1282000</v>
      </c>
      <c r="G25">
        <v>1</v>
      </c>
      <c r="H25" t="s">
        <v>104</v>
      </c>
      <c r="I25">
        <v>35000</v>
      </c>
    </row>
    <row r="26" spans="1:9" x14ac:dyDescent="0.35">
      <c r="G26">
        <v>1</v>
      </c>
      <c r="H26" t="s">
        <v>105</v>
      </c>
      <c r="I26">
        <v>25000</v>
      </c>
    </row>
    <row r="27" spans="1:9" x14ac:dyDescent="0.35">
      <c r="A27" t="s">
        <v>115</v>
      </c>
      <c r="B27">
        <v>300000</v>
      </c>
      <c r="G27">
        <v>1</v>
      </c>
      <c r="H27" t="s">
        <v>106</v>
      </c>
      <c r="I27">
        <v>60000</v>
      </c>
    </row>
    <row r="28" spans="1:9" x14ac:dyDescent="0.35">
      <c r="G28">
        <v>1</v>
      </c>
      <c r="H28" t="s">
        <v>106</v>
      </c>
      <c r="I28">
        <v>60000</v>
      </c>
    </row>
    <row r="29" spans="1:9" x14ac:dyDescent="0.35">
      <c r="G29">
        <v>4</v>
      </c>
      <c r="H29" t="s">
        <v>107</v>
      </c>
      <c r="I29">
        <v>10000</v>
      </c>
    </row>
    <row r="30" spans="1:9" x14ac:dyDescent="0.35">
      <c r="A30" t="s">
        <v>114</v>
      </c>
      <c r="B30">
        <f>B25+B9+B10+B27</f>
        <v>2464000</v>
      </c>
      <c r="H30" t="s">
        <v>108</v>
      </c>
      <c r="I30">
        <v>25000</v>
      </c>
    </row>
    <row r="31" spans="1:9" x14ac:dyDescent="0.35">
      <c r="I31" s="30">
        <f>SUM(I14:I30)</f>
        <v>562000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295-F3D2-4D64-AB38-4E5712472509}">
  <dimension ref="A1:K20"/>
  <sheetViews>
    <sheetView topLeftCell="C1" workbookViewId="0">
      <selection activeCell="C29" sqref="C29"/>
    </sheetView>
  </sheetViews>
  <sheetFormatPr defaultRowHeight="14.5" x14ac:dyDescent="0.35"/>
  <cols>
    <col min="1" max="1" width="16.6328125" customWidth="1"/>
    <col min="2" max="2" width="17.08984375" customWidth="1"/>
    <col min="3" max="3" width="20.6328125" customWidth="1"/>
    <col min="4" max="5" width="17.08984375" customWidth="1"/>
  </cols>
  <sheetData>
    <row r="1" spans="1:11" x14ac:dyDescent="0.35">
      <c r="A1" s="25" t="s">
        <v>36</v>
      </c>
      <c r="B1" s="26" t="s">
        <v>37</v>
      </c>
      <c r="C1" s="26" t="s">
        <v>38</v>
      </c>
      <c r="D1" s="26" t="s">
        <v>39</v>
      </c>
      <c r="E1" s="26" t="s">
        <v>40</v>
      </c>
      <c r="F1" s="24"/>
      <c r="G1" s="24"/>
      <c r="H1" s="24"/>
      <c r="I1" s="24"/>
      <c r="J1" s="24"/>
      <c r="K1" s="24"/>
    </row>
    <row r="2" spans="1:11" x14ac:dyDescent="0.35">
      <c r="A2" s="24" t="s">
        <v>21</v>
      </c>
      <c r="B2" s="24" t="s">
        <v>33</v>
      </c>
      <c r="C2" s="24" t="s">
        <v>34</v>
      </c>
      <c r="D2" s="24" t="s">
        <v>35</v>
      </c>
      <c r="E2" s="24"/>
      <c r="F2" s="24"/>
      <c r="G2" s="24"/>
      <c r="H2" s="24"/>
      <c r="I2" s="24"/>
      <c r="J2" s="24"/>
      <c r="K2" s="24"/>
    </row>
    <row r="3" spans="1:11" x14ac:dyDescent="0.35">
      <c r="A3" s="24" t="s">
        <v>19</v>
      </c>
      <c r="B3" s="24" t="s">
        <v>41</v>
      </c>
      <c r="C3" s="24" t="s">
        <v>42</v>
      </c>
      <c r="D3" s="24"/>
      <c r="E3" s="24"/>
      <c r="F3" s="24"/>
      <c r="G3" s="24"/>
      <c r="H3" s="24"/>
      <c r="I3" s="24"/>
      <c r="J3" s="24"/>
      <c r="K3" s="24"/>
    </row>
    <row r="4" spans="1:11" x14ac:dyDescent="0.35">
      <c r="A4" s="24" t="s">
        <v>20</v>
      </c>
      <c r="B4" s="24" t="s">
        <v>43</v>
      </c>
      <c r="C4" s="24" t="s">
        <v>44</v>
      </c>
      <c r="D4" s="24"/>
      <c r="E4" s="24"/>
      <c r="F4" s="24"/>
      <c r="G4" s="24"/>
      <c r="H4" s="24"/>
      <c r="I4" s="24"/>
      <c r="J4" s="24"/>
      <c r="K4" s="24"/>
    </row>
    <row r="5" spans="1:11" hidden="1" x14ac:dyDescent="0.35">
      <c r="A5" s="24" t="s">
        <v>22</v>
      </c>
      <c r="B5" s="24" t="s">
        <v>45</v>
      </c>
      <c r="C5" s="24"/>
      <c r="D5" s="24"/>
      <c r="E5" s="24"/>
      <c r="F5" s="24"/>
      <c r="G5" s="24"/>
      <c r="H5" s="24"/>
      <c r="I5" s="24"/>
      <c r="J5" s="24"/>
      <c r="K5" s="24"/>
    </row>
    <row r="6" spans="1:11" x14ac:dyDescent="0.35">
      <c r="A6" s="24" t="s">
        <v>23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x14ac:dyDescent="0.35">
      <c r="A7" s="24" t="s">
        <v>24</v>
      </c>
      <c r="B7" s="24" t="s">
        <v>46</v>
      </c>
      <c r="C7" s="24" t="s">
        <v>47</v>
      </c>
      <c r="D7" s="24"/>
      <c r="E7" s="24"/>
      <c r="F7" s="24"/>
      <c r="G7" s="24"/>
      <c r="H7" s="24"/>
      <c r="I7" s="24"/>
      <c r="J7" s="24"/>
      <c r="K7" s="24"/>
    </row>
    <row r="8" spans="1:11" x14ac:dyDescent="0.35">
      <c r="A8" s="24" t="s">
        <v>25</v>
      </c>
      <c r="B8" s="24" t="s">
        <v>48</v>
      </c>
      <c r="C8" s="24" t="s">
        <v>49</v>
      </c>
      <c r="D8" s="24"/>
      <c r="E8" s="24"/>
      <c r="F8" s="24"/>
      <c r="G8" s="24"/>
      <c r="H8" s="24"/>
      <c r="I8" s="24"/>
      <c r="J8" s="24"/>
      <c r="K8" s="24"/>
    </row>
    <row r="9" spans="1:11" x14ac:dyDescent="0.35">
      <c r="A9" s="24" t="s">
        <v>26</v>
      </c>
      <c r="B9" s="52" t="s">
        <v>50</v>
      </c>
      <c r="C9" s="52"/>
      <c r="D9" s="52"/>
      <c r="E9" s="52"/>
      <c r="F9" s="24"/>
      <c r="G9" s="24"/>
      <c r="H9" s="24"/>
      <c r="I9" s="24"/>
      <c r="J9" s="24"/>
      <c r="K9" s="24"/>
    </row>
    <row r="10" spans="1:11" x14ac:dyDescent="0.35">
      <c r="A10" s="24" t="s">
        <v>27</v>
      </c>
      <c r="B10" s="24" t="s">
        <v>29</v>
      </c>
      <c r="C10" s="24" t="s">
        <v>30</v>
      </c>
      <c r="D10" s="24" t="s">
        <v>31</v>
      </c>
      <c r="E10" s="24" t="s">
        <v>32</v>
      </c>
      <c r="F10" s="24"/>
      <c r="G10" s="24"/>
      <c r="H10" s="24"/>
      <c r="I10" s="24"/>
      <c r="J10" s="24"/>
      <c r="K10" s="24"/>
    </row>
    <row r="11" spans="1:11" x14ac:dyDescent="0.35">
      <c r="A11" s="24" t="s">
        <v>28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</sheetData>
  <mergeCells count="1">
    <mergeCell ref="B9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FEB1-596E-4C8F-BB65-B9BA66E82313}">
  <dimension ref="A1:B4"/>
  <sheetViews>
    <sheetView workbookViewId="0">
      <selection activeCell="A21" sqref="A21"/>
    </sheetView>
  </sheetViews>
  <sheetFormatPr defaultRowHeight="14.5" x14ac:dyDescent="0.35"/>
  <cols>
    <col min="1" max="1" width="31.453125" customWidth="1"/>
    <col min="2" max="2" width="47.1796875" customWidth="1"/>
  </cols>
  <sheetData>
    <row r="1" spans="1:2" x14ac:dyDescent="0.35">
      <c r="A1" t="s">
        <v>15</v>
      </c>
      <c r="B1" t="s">
        <v>58</v>
      </c>
    </row>
    <row r="2" spans="1:2" x14ac:dyDescent="0.35">
      <c r="A2" t="s">
        <v>57</v>
      </c>
      <c r="B2" t="s">
        <v>59</v>
      </c>
    </row>
    <row r="3" spans="1:2" x14ac:dyDescent="0.35">
      <c r="A3" t="s">
        <v>16</v>
      </c>
    </row>
    <row r="4" spans="1:2" x14ac:dyDescent="0.35">
      <c r="A4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1BC6-7CAB-413C-BA6E-BC669ECCC911}">
  <dimension ref="A1:A2"/>
  <sheetViews>
    <sheetView workbookViewId="0">
      <selection activeCell="A3" sqref="A3"/>
    </sheetView>
  </sheetViews>
  <sheetFormatPr defaultRowHeight="14.5" x14ac:dyDescent="0.35"/>
  <cols>
    <col min="1" max="1" width="34.08984375" customWidth="1"/>
  </cols>
  <sheetData>
    <row r="1" spans="1:1" x14ac:dyDescent="0.35">
      <c r="A1" t="s">
        <v>17</v>
      </c>
    </row>
    <row r="2" spans="1:1" x14ac:dyDescent="0.35">
      <c r="A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3518-59A0-49C3-A1F1-18A0254F1E93}">
  <dimension ref="A2:C4"/>
  <sheetViews>
    <sheetView workbookViewId="0">
      <selection activeCell="A6" sqref="A6"/>
    </sheetView>
  </sheetViews>
  <sheetFormatPr defaultRowHeight="14.5" x14ac:dyDescent="0.35"/>
  <cols>
    <col min="1" max="1" width="31.26953125" customWidth="1"/>
    <col min="3" max="3" width="14.54296875" customWidth="1"/>
  </cols>
  <sheetData>
    <row r="2" spans="1:3" x14ac:dyDescent="0.35">
      <c r="A2" t="s">
        <v>51</v>
      </c>
    </row>
    <row r="3" spans="1:3" x14ac:dyDescent="0.35">
      <c r="A3" t="s">
        <v>53</v>
      </c>
      <c r="B3" t="s">
        <v>46</v>
      </c>
      <c r="C3" t="s">
        <v>52</v>
      </c>
    </row>
    <row r="4" spans="1:3" x14ac:dyDescent="0.35">
      <c r="A4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6AAD-C2AA-47D9-B412-0626229D56CB}">
  <dimension ref="A1:B1"/>
  <sheetViews>
    <sheetView workbookViewId="0">
      <selection activeCell="A2" sqref="A2"/>
    </sheetView>
  </sheetViews>
  <sheetFormatPr defaultRowHeight="14.5" x14ac:dyDescent="0.35"/>
  <cols>
    <col min="2" max="2" width="24" customWidth="1"/>
  </cols>
  <sheetData>
    <row r="1" spans="1:2" x14ac:dyDescent="0.35">
      <c r="A1" t="s">
        <v>83</v>
      </c>
      <c r="B1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D06B-4DDB-47B4-9E02-7BAF4DCFEA86}">
  <dimension ref="A1:Q21"/>
  <sheetViews>
    <sheetView workbookViewId="0">
      <selection activeCell="H21" sqref="H21"/>
    </sheetView>
  </sheetViews>
  <sheetFormatPr defaultRowHeight="14.5" x14ac:dyDescent="0.35"/>
  <sheetData>
    <row r="1" spans="1:1" x14ac:dyDescent="0.35">
      <c r="A1" t="s">
        <v>116</v>
      </c>
    </row>
    <row r="2" spans="1:1" x14ac:dyDescent="0.35">
      <c r="A2" t="s">
        <v>117</v>
      </c>
    </row>
    <row r="3" spans="1:1" x14ac:dyDescent="0.35">
      <c r="A3" t="s">
        <v>118</v>
      </c>
    </row>
    <row r="18" spans="7:17" x14ac:dyDescent="0.35">
      <c r="L18" s="33"/>
    </row>
    <row r="19" spans="7:17" x14ac:dyDescent="0.35">
      <c r="G19">
        <v>10</v>
      </c>
      <c r="H19">
        <v>15</v>
      </c>
    </row>
    <row r="20" spans="7:17" x14ac:dyDescent="0.35">
      <c r="G20">
        <v>7</v>
      </c>
      <c r="H20">
        <v>10</v>
      </c>
      <c r="L20" s="33"/>
      <c r="Q20">
        <v>1000000</v>
      </c>
    </row>
    <row r="21" spans="7:17" x14ac:dyDescent="0.35">
      <c r="Q21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Studio Construction </vt:lpstr>
      <vt:lpstr>Income</vt:lpstr>
      <vt:lpstr>Budget</vt:lpstr>
      <vt:lpstr>Business Ideas</vt:lpstr>
      <vt:lpstr>Podcast</vt:lpstr>
      <vt:lpstr>Film Ideas</vt:lpstr>
      <vt:lpstr>Things to do</vt:lpstr>
      <vt:lpstr>Targets</vt:lpstr>
      <vt:lpstr>Investment 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Ranjeeth</dc:creator>
  <cp:lastModifiedBy>B, Ranjeeth</cp:lastModifiedBy>
  <dcterms:created xsi:type="dcterms:W3CDTF">2026-03-06T16:25:57Z</dcterms:created>
  <dcterms:modified xsi:type="dcterms:W3CDTF">2026-03-08T16:35:36Z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2026-03-07T00:28:19Z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38d62380-a6b4-4df3-adaf-dc32827d7a65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